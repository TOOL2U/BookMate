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s" sheetId="1" r:id="rId1"/>
    <sheet name="Transactions" sheetId="2" r:id="rId2"/>
    <sheet name="Ledger" sheetId="3" r:id="rId3"/>
    <sheet name="Balance Summary" sheetId="4" r:id="rId4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<sst xmlns="http://schemas.openxmlformats.org/spreadsheetml/2006/main" count="34" uniqueCount="28">
  <si>
    <t>accountName</t>
  </si>
  <si>
    <t>openingBalance</t>
  </si>
  <si>
    <t>active?</t>
  </si>
  <si>
    <t>note</t>
  </si>
  <si>
    <t>Bank Transfer - Bangkok Bank - Shaun Ducker</t>
  </si>
  <si>
    <t>Auto-synced from your system</t>
  </si>
  <si>
    <t>Bank Transfer - Bangkok Bank - Maria Ren</t>
  </si>
  <si>
    <t>Bank transfer - Krung Thai Bank - Family Account</t>
  </si>
  <si>
    <t>Cash - Family</t>
  </si>
  <si>
    <t>Cash - Alesia</t>
  </si>
  <si>
    <t>timestamp</t>
  </si>
  <si>
    <t>fromAccount</t>
  </si>
  <si>
    <t>toAccount</t>
  </si>
  <si>
    <t>transactionType</t>
  </si>
  <si>
    <t>amount</t>
  </si>
  <si>
    <t>currency</t>
  </si>
  <si>
    <t>referenceID</t>
  </si>
  <si>
    <t>user</t>
  </si>
  <si>
    <t>balanceAfter</t>
  </si>
  <si>
    <t>delta</t>
  </si>
  <si>
    <t>month</t>
  </si>
  <si>
    <t>Month Filter</t>
  </si>
  <si>
    <t>ALL</t>
  </si>
  <si>
    <t>netChange</t>
  </si>
  <si>
    <t>currentBalance</t>
  </si>
  <si>
    <t>lastTxnAt</t>
  </si>
  <si>
    <t>inflow(+)</t>
  </si>
  <si>
    <t>outflow(-)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</si>
</sst>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8.7109375" customWidth="1"/>
    <col min="2" max="2" width="16.7109375" customWidth="1"/>
    <col min="3" max="3" width="10.7109375" customWidth="1"/>
    <col min="4" max="4" width="4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 t="b">
        <v>1</v>
      </c>
      <c r="D2" t="s">
        <v>5</v>
      </c>
    </row>
    <row r="3" spans="1:4">
      <c r="A3" t="s">
        <v>6</v>
      </c>
    </row>
    <row r="4" spans="1:4">
      <c r="A4" t="s">
        <v>7</v>
      </c>
    </row>
    <row r="5" spans="1:4">
      <c r="A5" t="s">
        <v>8</v>
      </c>
    </row>
    <row r="6" spans="1:4">
      <c r="A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" width="22.7109375" customWidth="1"/>
    <col min="2" max="3" width="40.7109375" customWidth="1"/>
    <col min="4" max="4" width="18.7109375" customWidth="1"/>
    <col min="5" max="5" width="14.7109375" customWidth="1"/>
    <col min="6" max="6" width="10.7109375" customWidth="1"/>
    <col min="7" max="9" width="20.7109375" customWidth="1"/>
    <col min="10" max="10" width="16.7109375" customWidth="1"/>
  </cols>
  <sheetData>
    <row r="1" spans="1:10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3</v>
      </c>
      <c r="H1" s="1" t="s">
        <v>16</v>
      </c>
      <c r="I1" s="1" t="s">
        <v>17</v>
      </c>
      <c r="J1" s="1" t="s">
        <v>18</v>
      </c>
    </row>
  </sheetData>
  <dataValidations count="4">
    <dataValidation type="list" allowBlank="1" showInputMessage="1" showErrorMessage="1" sqref="D2:D1000">
      <formula1>"Revenue,Expense,Transfer"</formula1>
    </dataValidation>
    <dataValidation type="list" allowBlank="1" showInputMessage="1" showErrorMessage="1" sqref="F2:F1000">
      <formula1>"THB"</formula1>
    </dataValidation>
    <dataValidation type="list" allowBlank="1" showInputMessage="1" showErrorMessage="1" sqref="B2:B1000">
      <formula1>Accounts!$A$2:$A$1000</formula1>
    </dataValidation>
    <dataValidation type="list" allowBlank="1" showInputMessage="1" showErrorMessage="1" sqref="C2:C1000">
      <formula1>Accounts!$A$2:$A$1000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22.7109375" customWidth="1"/>
    <col min="2" max="2" width="40.7109375" customWidth="1"/>
    <col min="3" max="3" width="14.7109375" customWidth="1"/>
    <col min="4" max="4" width="8.7109375" customWidth="1"/>
  </cols>
  <sheetData>
    <row r="1" spans="1:4">
      <c r="A1" s="1" t="s">
        <v>10</v>
      </c>
      <c r="B1" s="1" t="s">
        <v>0</v>
      </c>
      <c r="C1" s="1" t="s">
        <v>19</v>
      </c>
      <c r="D1" s="1" t="s">
        <v>20</v>
      </c>
    </row>
    <row r="2" spans="1:4">
      <c r="A2" cm="1">
        <f t="array" ref="A2">LET(revDates, _xlfn._xlws.FILTER(Transactions!A:A, Transactions!D:D="Revenue"),revAcct,  _xlfn._xlws.FILTER(Transactions!C:C, Transactions!D:D="Revenue"),revAmt,   _xlfn._xlws.FILTER(Transactions!E:E, Transactions!D:D="Revenue"),revMon,   TEXT(revDates,"MMM"),expDates, _xlfn._xlws.FILTER(Transactions!A:A, Transactions!D:D="Expense"),expAcct,  _xlfn._xlws.FILTER(Transactions!B:B, Transactions!D:D="Expense"),expAmt,  -_xlfn._xlws.FILTER(Transactions!E:E, Transactions!D:D="Expense"),expMon,   TEXT(expDates,"MMM"),txDates,  _xlfn._xlws.FILTER(Transactions!A:A, Transactions!D:D="Transfer"),toAcct,   _xlfn._xlws.FILTER(Transactions!C:C, Transactions!D:D="Transfer"),fromAcct, _xlfn._xlws.FILTER(Transactions!B:B, Transactions!D:D="Transfer"),txAmt,    _xlfn._xlws.FILTER(Transactions!E:E, Transactions!D:D="Transfer"),toMon,    TEXT(txDates,"MMM"),fromMon,  TEXT(txDates,"MMM"),toRows,   _xlfn.HSTACK(revDates,revAcct,revAmt,revMon),expRows,  _xlfn.HSTACK(expDates,expAcct,expAmt,expMon),xferToRows,   _xlfn.HSTACK(txDates,toAcct,txAmt,toMon),xferFromRows, _xlfn.HSTACK(txDates,fromAcct,-txAmt,fromMon),_xlfn.VSTACK(toRows,expRows,xferToRows,xferFromRows))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40.7109375" customWidth="1"/>
    <col min="2" max="4" width="16.7109375" customWidth="1"/>
    <col min="5" max="5" width="22.7109375" customWidth="1"/>
    <col min="6" max="7" width="16.7109375" customWidth="1"/>
    <col min="8" max="8" width="30.7109375" customWidth="1"/>
  </cols>
  <sheetData>
    <row r="1" spans="1:8">
      <c r="A1" s="1" t="s">
        <v>21</v>
      </c>
      <c r="B1" s="2" t="s">
        <v>22</v>
      </c>
    </row>
    <row r="3" spans="1:8">
      <c r="A3" s="1" t="s">
        <v>0</v>
      </c>
      <c r="B3" s="1" t="s">
        <v>1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3</v>
      </c>
    </row>
    <row r="4" spans="1:8">
      <c r="A4" cm="1">
        <f t="array" ref="A4">_xlfn._xlws.FILTER(Accounts!A2:A, Accounts!A2:A&lt;&gt;"")</f>
        <v>0</v>
      </c>
      <c r="B4">
        <f>IF(A4="","", IFERROR(VLOOKUP(A4, Accounts!A:B, 2, FALSE), 0))</f>
        <v>0</v>
      </c>
      <c r="C4">
        <f>IF(A4="","", IF($B$1="ALL", SUMIF(Ledger!B:B, A4, Ledger!C:C), SUMIFS(Ledger!C:C, Ledger!B:B, A4, Ledger!D:D, $B$1)))</f>
        <v>0</v>
      </c>
      <c r="D4">
        <f>IF(A4="","", B4+C4)</f>
        <v>0</v>
      </c>
      <c r="E4" cm="1">
        <f t="array" ref="E4">IF(A4="","", IF($B$1="ALL", IFERROR(MAX(_xlfn._xlws.FILTER(Ledger!A:A, Ledger!B:B=A4)),""), IFERROR(MAX(_xlfn._xlws.FILTER(Ledger!A:A, (Ledger!B:B=A4)*(Ledger!D:D=$B$1))),"")))</f>
        <v>0</v>
      </c>
      <c r="F4">
        <f>IF(A4="","", IF($B$1="ALL", SUMIFS(Ledger!C:C, Ledger!B:B,A4, Ledger!C:C,"&gt;0"), SUMIFS(Ledger!C:C, Ledger!B:B,A4, Ledger!D:D,$B$1, Ledger!C:C,"&gt;0")))</f>
        <v>0</v>
      </c>
      <c r="G4">
        <f>IF(A4="","", -IF($B$1="ALL", SUMIFS(Ledger!C:C, Ledger!B:B,A4, Ledger!C:C,"&lt;0"), SUMIFS(Ledger!C:C, Ledger!B:B,A4, Ledger!D:D,$B$1, Ledger!C:C,"&lt;0")))</f>
        <v>0</v>
      </c>
    </row>
  </sheetData>
  <dataValidations count="1">
    <dataValidation type="list" allowBlank="1" showInputMessage="1" showErrorMessage="1" sqref="B1">
      <formula1>"ALL,JAN,FEB,MAR,APR,MAY,JUN,JUL,AUG,SEP,OCT,NOV,DEC"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</vt:lpstr>
      <vt:lpstr>Transactions</vt:lpstr>
      <vt:lpstr>Ledger</vt:lpstr>
      <vt:lpstr>Balance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2025-11-04T10:47:30Z</dcterms:created>
  <dcterms:modified xsi:type="dcterms:W3CDTF">2025-11-04T10:47:30Z</dcterms:modified>
</cp:coreProperties>
</file>